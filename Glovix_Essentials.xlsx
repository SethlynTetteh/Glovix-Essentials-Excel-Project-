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62516c28816743/Desktop/"/>
    </mc:Choice>
  </mc:AlternateContent>
  <xr:revisionPtr revIDLastSave="42" documentId="11_FB3807E3EF0930F9357C6476F9B63C7D864699B8" xr6:coauthVersionLast="47" xr6:coauthVersionMax="47" xr10:uidLastSave="{045325FC-00DC-47ED-8180-EDFC66267887}"/>
  <bookViews>
    <workbookView xWindow="-120" yWindow="-120" windowWidth="20730" windowHeight="11040" xr2:uid="{00000000-000D-0000-FFFF-FFFF00000000}"/>
  </bookViews>
  <sheets>
    <sheet name="FUNCTIONS" sheetId="1" r:id="rId1"/>
    <sheet name="IFS" sheetId="2" r:id="rId2"/>
    <sheet name="NESTED IF (IFS)" sheetId="5" r:id="rId3"/>
    <sheet name="VLOOKUP" sheetId="6" r:id="rId4"/>
  </sheets>
  <definedNames>
    <definedName name="_xlnm._FilterDatabase" localSheetId="0" hidden="1">FUNCTIONS!$A$1:$D$1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6" l="1"/>
  <c r="G12" i="6"/>
  <c r="G11" i="6"/>
  <c r="D12" i="5"/>
  <c r="D16" i="5"/>
  <c r="D14" i="5"/>
  <c r="D18" i="5"/>
  <c r="D4" i="5"/>
  <c r="D23" i="5"/>
  <c r="D9" i="5"/>
  <c r="D6" i="5"/>
  <c r="D10" i="5"/>
  <c r="D2" i="5"/>
  <c r="D28" i="5"/>
  <c r="D30" i="5"/>
  <c r="D25" i="5"/>
  <c r="D3" i="5"/>
  <c r="D22" i="5"/>
  <c r="D11" i="5"/>
  <c r="D21" i="5"/>
  <c r="D26" i="5"/>
  <c r="D17" i="5"/>
  <c r="D24" i="5"/>
  <c r="D15" i="5"/>
  <c r="D27" i="5"/>
  <c r="D19" i="5"/>
  <c r="D7" i="5"/>
  <c r="D8" i="5"/>
  <c r="D31" i="5"/>
  <c r="D29" i="5"/>
  <c r="D13" i="5"/>
  <c r="D5" i="5"/>
  <c r="D20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23" i="5"/>
  <c r="C7" i="2"/>
  <c r="M20" i="1"/>
  <c r="L20" i="1"/>
  <c r="M19" i="1"/>
  <c r="L19" i="1"/>
  <c r="M18" i="1"/>
  <c r="L18" i="1"/>
  <c r="M17" i="1"/>
  <c r="L17" i="1"/>
  <c r="M16" i="1"/>
  <c r="L16" i="1"/>
  <c r="K16" i="1" a="1"/>
  <c r="K16" i="1"/>
  <c r="L12" i="1"/>
  <c r="L11" i="1"/>
  <c r="F11" i="1"/>
  <c r="I10" i="1"/>
  <c r="L7" i="1"/>
  <c r="L6" i="1"/>
  <c r="L5" i="1"/>
  <c r="L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<sst xmlns="http://schemas.openxmlformats.org/spreadsheetml/2006/main" count="319" uniqueCount="83">
  <si>
    <t>Order ID</t>
  </si>
  <si>
    <t>Customer Name</t>
  </si>
  <si>
    <t>Proper Product Name</t>
  </si>
  <si>
    <t>Order Amount</t>
  </si>
  <si>
    <t>ORD-1001</t>
  </si>
  <si>
    <t>Chinonso Ume</t>
  </si>
  <si>
    <t>Spice Rack Organizer</t>
  </si>
  <si>
    <t>FINANCIAL METRICS</t>
  </si>
  <si>
    <t>ORD-1002</t>
  </si>
  <si>
    <t>Peter Obasi</t>
  </si>
  <si>
    <t>Non-Stick Fry Pan</t>
  </si>
  <si>
    <t>FUNCTION</t>
  </si>
  <si>
    <t>AMOUNT</t>
  </si>
  <si>
    <t>ORD-1003</t>
  </si>
  <si>
    <t>Sibusiso Ndlovu</t>
  </si>
  <si>
    <t>Glass Measuring Jug</t>
  </si>
  <si>
    <t>SUM</t>
  </si>
  <si>
    <t>ORD-1004</t>
  </si>
  <si>
    <t>Kofi Mensah</t>
  </si>
  <si>
    <t>AVERAGE ORDER VALUE</t>
  </si>
  <si>
    <t>ORD-1005</t>
  </si>
  <si>
    <t>Storage Container Set</t>
  </si>
  <si>
    <t>MAX</t>
  </si>
  <si>
    <t>ORD-1006</t>
  </si>
  <si>
    <t>Thandiwe Moyo</t>
  </si>
  <si>
    <t>Collapsible Dish Rack</t>
  </si>
  <si>
    <t>AVERAGEIF(C2:C31,"Collapsible Dish Rack",D2:D31)</t>
  </si>
  <si>
    <t>MIN</t>
  </si>
  <si>
    <t>ORD-1007</t>
  </si>
  <si>
    <t>Nneka Okafor</t>
  </si>
  <si>
    <t>ORD-1008</t>
  </si>
  <si>
    <t>ORD-1009</t>
  </si>
  <si>
    <t>COUNT</t>
  </si>
  <si>
    <t>RESULTS</t>
  </si>
  <si>
    <t>ORD-1010</t>
  </si>
  <si>
    <t>Mary Peters</t>
  </si>
  <si>
    <t>ORD-1011</t>
  </si>
  <si>
    <t>COUNTA</t>
  </si>
  <si>
    <t>ORD-1012</t>
  </si>
  <si>
    <t>ORD-1013</t>
  </si>
  <si>
    <t>Adaeze Bello</t>
  </si>
  <si>
    <t>ORD-1014</t>
  </si>
  <si>
    <t>Omolara Akinyemi</t>
  </si>
  <si>
    <t>PRODUCT</t>
  </si>
  <si>
    <t>COUNTIF</t>
  </si>
  <si>
    <t>SUMIF</t>
  </si>
  <si>
    <t>ORD-1015</t>
  </si>
  <si>
    <t>Amina Yusuf</t>
  </si>
  <si>
    <t>ORD-1016</t>
  </si>
  <si>
    <t>ORD-1017</t>
  </si>
  <si>
    <t>Kwame Adebayo</t>
  </si>
  <si>
    <t>ORD-1018</t>
  </si>
  <si>
    <t>ORD-1019</t>
  </si>
  <si>
    <t>Zainab Garba</t>
  </si>
  <si>
    <t>ORD-1020</t>
  </si>
  <si>
    <t>ORD-1021</t>
  </si>
  <si>
    <t>ORD-1022</t>
  </si>
  <si>
    <t>ORD-1023</t>
  </si>
  <si>
    <t>ORD-1024</t>
  </si>
  <si>
    <t>Efe Ighalo</t>
  </si>
  <si>
    <t>ORD-1025</t>
  </si>
  <si>
    <t>ORD-1026</t>
  </si>
  <si>
    <t>ORD-1027</t>
  </si>
  <si>
    <t>Blessing Etim</t>
  </si>
  <si>
    <t>ORD-1028</t>
  </si>
  <si>
    <t>ORD-1029</t>
  </si>
  <si>
    <t>Chuks Danjuma</t>
  </si>
  <si>
    <t>ORD-1030</t>
  </si>
  <si>
    <t>Product</t>
  </si>
  <si>
    <t>Category</t>
  </si>
  <si>
    <t>IF Order Amount is ≥ $50,000, categorize the transaction as Profitable, else Average</t>
  </si>
  <si>
    <t>Format the Category column</t>
  </si>
  <si>
    <t>Classify transactions into Fair (&lt;$30,000), Good (30k–70k), Very Good (&gt;70k).</t>
  </si>
  <si>
    <t>Format Category column</t>
  </si>
  <si>
    <t>Amount</t>
  </si>
  <si>
    <t>$0 - $29,999</t>
  </si>
  <si>
    <t>Fair</t>
  </si>
  <si>
    <t>$30,000 - $70,000</t>
  </si>
  <si>
    <t>Good</t>
  </si>
  <si>
    <t>&gt; $70,000</t>
  </si>
  <si>
    <t>Very Good</t>
  </si>
  <si>
    <t>What products were ordered by Omolara Akinyemi, Peter Obasi and Chuks Danjuma?</t>
  </si>
  <si>
    <t>VLOOKUP(lookup_value,table_array,col_index_num,[range_lookup])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</si>
</sst>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_-"/>
    <numFmt numFmtId="165" formatCode="_(&quot;$&quot;* #,##0.00_);_(&quot;$&quot;* \(#,##0.00\);_(&quot;$&quot;* &quot;-&quot;??_);_(@_)"/>
    <numFmt numFmtId="166" formatCode="[$$-1009]#,##0.00;\-[$$-1009]#,##0.00"/>
    <numFmt numFmtId="168" formatCode="[$$-C09]#,##0.00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9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5" fontId="0" fillId="0" borderId="9" xfId="0" applyNumberFormat="1" applyBorder="1"/>
    <xf numFmtId="0" fontId="0" fillId="2" borderId="0" xfId="0" applyFill="1"/>
    <xf numFmtId="166" fontId="0" fillId="2" borderId="0" xfId="0" applyNumberFormat="1" applyFill="1"/>
    <xf numFmtId="0" fontId="0" fillId="3" borderId="0" xfId="0" applyFill="1"/>
    <xf numFmtId="0" fontId="0" fillId="4" borderId="0" xfId="0" applyFill="1"/>
    <xf numFmtId="166" fontId="0" fillId="4" borderId="0" xfId="0" applyNumberFormat="1" applyFill="1"/>
    <xf numFmtId="49" fontId="1" fillId="0" borderId="10" xfId="0" applyNumberFormat="1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8" fontId="0" fillId="2" borderId="0" xfId="0" applyNumberFormat="1" applyFill="1"/>
    <xf numFmtId="168" fontId="1" fillId="0" borderId="10" xfId="0" applyNumberFormat="1" applyFont="1" applyBorder="1" applyAlignment="1">
      <alignment horizontal="center" vertical="top"/>
    </xf>
  </cellXfs>
  <cellStyles count="2">
    <cellStyle name="Currency 2" xfId="1" xr:uid="{00000000-0005-0000-0000-000031000000}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numFmt numFmtId="168" formatCode="[$$-C09]#,##0.00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168" formatCode="[$$-C09]#,##0.0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8" formatCode="[$$-C09]#,##0.0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$-1009]#,##0.00;\-[$$-1009]#,##0.00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1" totalsRowShown="0">
  <autoFilter ref="A1:D31" xr:uid="{00000000-0009-0000-0100-000001000000}"/>
  <tableColumns count="4">
    <tableColumn id="1" xr3:uid="{00000000-0010-0000-0000-000001000000}" name="Order ID" dataDxfId="18"/>
    <tableColumn id="2" xr3:uid="{00000000-0010-0000-0000-000002000000}" name="Customer Name" dataDxfId="17"/>
    <tableColumn id="3" xr3:uid="{00000000-0010-0000-0000-000003000000}" name="Proper Product Name" dataDxfId="16"/>
    <tableColumn id="4" xr3:uid="{00000000-0010-0000-0000-000004000000}" name="Order Amount" dataDxfId="1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3F6F2-F522-4365-87BE-182A1D3CFFA9}" name="Table3" displayName="Table3" ref="A1:D31" totalsRowShown="0" headerRowDxfId="14">
  <autoFilter ref="A1:D31" xr:uid="{50D3F6F2-F522-4365-87BE-182A1D3CFFA9}"/>
  <tableColumns count="4">
    <tableColumn id="1" xr3:uid="{669E9F10-6C98-4ADE-8B16-312167D25AB6}" name="Customer Name"/>
    <tableColumn id="2" xr3:uid="{EB67B55C-18A0-4AF3-8009-F564C8AD20C7}" name="Product" dataDxfId="13"/>
    <tableColumn id="3" xr3:uid="{43365D5A-F649-4BB4-8F5A-DCFA3D7F4E19}" name="Order Amount" dataDxfId="12"/>
    <tableColumn id="4" xr3:uid="{6BEBD5CB-AB3D-4FAF-B599-091F4026C623}" name="Category" dataDxfId="11">
      <calculatedColumnFormula>IF(C2&gt;=50000,"Profitable","Average")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5BFF24-617B-4C74-8DE6-3E669724011A}" name="Table4" displayName="Table4" ref="A1:D31" totalsRowShown="0" headerRowDxfId="10">
  <autoFilter ref="A1:D31" xr:uid="{AF5BFF24-617B-4C74-8DE6-3E669724011A}"/>
  <sortState xmlns:xlrd2="http://schemas.microsoft.com/office/spreadsheetml/2017/richdata2" ref="A2:D31">
    <sortCondition descending="1" ref="C1:C31"/>
  </sortState>
  <tableColumns count="4">
    <tableColumn id="1" xr3:uid="{42A0D087-808A-420F-9402-47EA16E0E590}" name="Customer Name" dataDxfId="9"/>
    <tableColumn id="2" xr3:uid="{6A8181E0-7EFD-4F2E-AF6A-92160CA39F13}" name="Product" dataDxfId="8"/>
    <tableColumn id="3" xr3:uid="{78206E86-04A0-4974-AA6A-63B0F5BB1ACC}" name="Order Amount" dataDxfId="7"/>
    <tableColumn id="4" xr3:uid="{7B926307-F0E0-43B7-A0D9-F8D2FD7F6C9D}" name="Category" dataDxfId="6">
      <calculatedColumnFormula>IF(C2&lt;30000,"Fair",IF(C2&lt;=70000,"Good","Very Good"))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32B40E-C842-4C66-907E-FA988840D6B8}" name="Table5" displayName="Table5" ref="A1:C31" totalsRowShown="0" headerRowBorderDxfId="4" tableBorderDxfId="5">
  <autoFilter ref="A1:C31" xr:uid="{8832B40E-C842-4C66-907E-FA988840D6B8}"/>
  <tableColumns count="3">
    <tableColumn id="1" xr3:uid="{FEE01E71-0EB5-4C67-B4D1-4B7B08C09632}" name="Customer Name" dataDxfId="3"/>
    <tableColumn id="2" xr3:uid="{C7F2DA08-68A4-4DFF-86DA-0EA35E2800E1}" name="Product" dataDxfId="2"/>
    <tableColumn id="3" xr3:uid="{B3D1705A-C969-48F9-BDF5-BEF365622ABF}" name="Order Amount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5117038483843"/>
  </sheetPr>
  <dimension ref="A1:M31"/>
  <sheetViews>
    <sheetView tabSelected="1" workbookViewId="0">
      <selection activeCell="F14" sqref="F14"/>
    </sheetView>
  </sheetViews>
  <sheetFormatPr defaultColWidth="9" defaultRowHeight="15"/>
  <cols>
    <col min="1" max="1" width="12.5703125" customWidth="1"/>
    <col min="2" max="2" width="19" style="1" customWidth="1"/>
    <col min="3" max="3" width="18.85546875" style="1" customWidth="1"/>
    <col min="4" max="4" width="17.5703125" style="16" customWidth="1"/>
    <col min="8" max="8" width="8.42578125" customWidth="1"/>
    <col min="9" max="9" width="12.85546875"/>
    <col min="11" max="11" width="24" customWidth="1"/>
    <col min="12" max="12" width="13.7109375" customWidth="1"/>
    <col min="13" max="13" width="11.85546875"/>
  </cols>
  <sheetData>
    <row r="1" spans="1:13">
      <c r="A1" s="7" t="s">
        <v>0</v>
      </c>
      <c r="B1" s="2" t="s">
        <v>1</v>
      </c>
      <c r="C1" s="2" t="s">
        <v>2</v>
      </c>
      <c r="D1" s="17" t="s">
        <v>3</v>
      </c>
    </row>
    <row r="2" spans="1:13">
      <c r="A2" t="s">
        <v>4</v>
      </c>
      <c r="B2" s="1" t="s">
        <v>5</v>
      </c>
      <c r="C2" t="s">
        <v>6</v>
      </c>
      <c r="D2" s="16">
        <v>58535</v>
      </c>
      <c r="K2" t="s">
        <v>7</v>
      </c>
      <c r="L2" s="18"/>
    </row>
    <row r="3" spans="1:13">
      <c r="A3" t="s">
        <v>8</v>
      </c>
      <c r="B3" s="1" t="s">
        <v>9</v>
      </c>
      <c r="C3" t="s">
        <v>10</v>
      </c>
      <c r="D3" s="16">
        <v>47970</v>
      </c>
      <c r="K3" s="19" t="s">
        <v>11</v>
      </c>
      <c r="L3" s="19" t="s">
        <v>12</v>
      </c>
    </row>
    <row r="4" spans="1:13">
      <c r="A4" t="s">
        <v>13</v>
      </c>
      <c r="B4" s="1" t="s">
        <v>14</v>
      </c>
      <c r="C4" t="s">
        <v>15</v>
      </c>
      <c r="D4" s="16">
        <v>52520</v>
      </c>
      <c r="K4" s="19" t="s">
        <v>16</v>
      </c>
      <c r="L4" s="20">
        <f>SUM(D2:D31)</f>
        <v>1484367.33</v>
      </c>
    </row>
    <row r="5" spans="1:13">
      <c r="A5" t="s">
        <v>17</v>
      </c>
      <c r="B5" s="1" t="s">
        <v>18</v>
      </c>
      <c r="C5" t="s">
        <v>15</v>
      </c>
      <c r="D5" s="16">
        <v>44444</v>
      </c>
      <c r="K5" s="19" t="s">
        <v>19</v>
      </c>
      <c r="L5" s="20">
        <f>AVERAGE(D2:D31)</f>
        <v>49478.911</v>
      </c>
    </row>
    <row r="6" spans="1:13">
      <c r="A6" t="s">
        <v>20</v>
      </c>
      <c r="B6" s="1" t="s">
        <v>18</v>
      </c>
      <c r="C6" t="s">
        <v>21</v>
      </c>
      <c r="D6" s="16">
        <v>72582</v>
      </c>
      <c r="K6" s="19" t="s">
        <v>22</v>
      </c>
      <c r="L6" s="20">
        <f>MAX(D2:D31)</f>
        <v>87895</v>
      </c>
    </row>
    <row r="7" spans="1:13">
      <c r="A7" t="s">
        <v>23</v>
      </c>
      <c r="B7" s="1" t="s">
        <v>24</v>
      </c>
      <c r="C7" t="s">
        <v>25</v>
      </c>
      <c r="D7" s="16">
        <v>39985.33</v>
      </c>
      <c r="F7" t="s">
        <v>26</v>
      </c>
      <c r="K7" s="19" t="s">
        <v>27</v>
      </c>
      <c r="L7" s="20">
        <f>MIN(D2:D31)</f>
        <v>23085</v>
      </c>
    </row>
    <row r="8" spans="1:13">
      <c r="A8" t="s">
        <v>28</v>
      </c>
      <c r="B8" s="1" t="s">
        <v>29</v>
      </c>
      <c r="C8" t="s">
        <v>15</v>
      </c>
      <c r="D8" s="16">
        <v>63735</v>
      </c>
    </row>
    <row r="9" spans="1:13">
      <c r="A9" t="s">
        <v>30</v>
      </c>
      <c r="B9" s="1" t="s">
        <v>5</v>
      </c>
      <c r="C9" t="s">
        <v>6</v>
      </c>
      <c r="D9" s="16">
        <v>70863</v>
      </c>
    </row>
    <row r="10" spans="1:13">
      <c r="A10" t="s">
        <v>31</v>
      </c>
      <c r="B10" s="1" t="s">
        <v>18</v>
      </c>
      <c r="C10" t="s">
        <v>6</v>
      </c>
      <c r="D10" s="16">
        <v>60015</v>
      </c>
      <c r="I10">
        <f>AVERAGEIF(C2:C31,"Collapsible Dish Rack",D2:D31)</f>
        <v>39985.332499999997</v>
      </c>
      <c r="K10" s="21" t="s">
        <v>32</v>
      </c>
      <c r="L10" s="21" t="s">
        <v>33</v>
      </c>
    </row>
    <row r="11" spans="1:13">
      <c r="A11" t="s">
        <v>34</v>
      </c>
      <c r="B11" s="1" t="s">
        <v>35</v>
      </c>
      <c r="C11" t="s">
        <v>21</v>
      </c>
      <c r="D11" s="16">
        <v>87895</v>
      </c>
      <c r="F11">
        <f>AVERAGEIF(Table1[Proper Product Name],"Collapsible Dish Rack",Table1[Order Amount])</f>
        <v>39985.332499999997</v>
      </c>
      <c r="K11" s="21" t="s">
        <v>32</v>
      </c>
      <c r="L11" s="21">
        <f>COUNT(D2:D31)</f>
        <v>30</v>
      </c>
    </row>
    <row r="12" spans="1:13">
      <c r="A12" t="s">
        <v>36</v>
      </c>
      <c r="B12" s="1" t="s">
        <v>24</v>
      </c>
      <c r="C12" t="s">
        <v>10</v>
      </c>
      <c r="D12" s="16">
        <v>25155</v>
      </c>
      <c r="K12" s="21" t="s">
        <v>37</v>
      </c>
      <c r="L12" s="21">
        <f>COUNTA(A2:A31)</f>
        <v>30</v>
      </c>
    </row>
    <row r="13" spans="1:13">
      <c r="A13" t="s">
        <v>38</v>
      </c>
      <c r="B13" s="1" t="s">
        <v>35</v>
      </c>
      <c r="C13" t="s">
        <v>10</v>
      </c>
      <c r="D13" s="16">
        <v>23444</v>
      </c>
    </row>
    <row r="14" spans="1:13">
      <c r="A14" t="s">
        <v>39</v>
      </c>
      <c r="B14" s="1" t="s">
        <v>40</v>
      </c>
      <c r="C14" t="s">
        <v>21</v>
      </c>
      <c r="D14" s="16">
        <v>31495</v>
      </c>
    </row>
    <row r="15" spans="1:13">
      <c r="A15" t="s">
        <v>41</v>
      </c>
      <c r="B15" s="1" t="s">
        <v>42</v>
      </c>
      <c r="C15" t="s">
        <v>21</v>
      </c>
      <c r="D15" s="16">
        <v>76825</v>
      </c>
      <c r="K15" s="22" t="s">
        <v>43</v>
      </c>
      <c r="L15" s="22" t="s">
        <v>44</v>
      </c>
      <c r="M15" s="22" t="s">
        <v>45</v>
      </c>
    </row>
    <row r="16" spans="1:13">
      <c r="A16" t="s">
        <v>46</v>
      </c>
      <c r="B16" s="1" t="s">
        <v>47</v>
      </c>
      <c r="C16" t="s">
        <v>25</v>
      </c>
      <c r="D16" s="16">
        <v>40233</v>
      </c>
      <c r="K16" s="22" t="str" cm="1">
        <f t="array" ref="K16:K20">_xlfn.UNIQUE(C2:C31)</f>
        <v>Spice Rack Organizer</v>
      </c>
      <c r="L16" s="22">
        <f>COUNTIF(C2:C31,"Spice Rack Organizer")</f>
        <v>6</v>
      </c>
      <c r="M16" s="23">
        <f>SUMIF(C2:C31,"Spice Rack Organizer",D2:D31)</f>
        <v>312187</v>
      </c>
    </row>
    <row r="17" spans="1:13">
      <c r="A17" t="s">
        <v>48</v>
      </c>
      <c r="B17" s="1" t="s">
        <v>40</v>
      </c>
      <c r="C17" t="s">
        <v>10</v>
      </c>
      <c r="D17" s="16">
        <v>58713</v>
      </c>
      <c r="K17" s="22" t="str">
        <v>Non-Stick Fry Pan</v>
      </c>
      <c r="L17" s="22">
        <f>COUNTIF(C3:C32,"Non-Stick Fry Pan")</f>
        <v>7</v>
      </c>
      <c r="M17" s="23">
        <f>SUMIF(C3:C32,"Non-Stick Fry Pan",D3:D32)</f>
        <v>260023</v>
      </c>
    </row>
    <row r="18" spans="1:13">
      <c r="A18" t="s">
        <v>49</v>
      </c>
      <c r="B18" s="1" t="s">
        <v>50</v>
      </c>
      <c r="C18" t="s">
        <v>21</v>
      </c>
      <c r="D18" s="16">
        <v>41590</v>
      </c>
      <c r="K18" s="22" t="str">
        <v>Glass Measuring Jug</v>
      </c>
      <c r="L18" s="22">
        <f>COUNTIF(C4:C33,"Glass Measuring Jug")</f>
        <v>5</v>
      </c>
      <c r="M18" s="23">
        <f>SUMIF(C4:C33,"Glass Measuring Jug",D4:D33)</f>
        <v>289529</v>
      </c>
    </row>
    <row r="19" spans="1:13">
      <c r="A19" t="s">
        <v>51</v>
      </c>
      <c r="B19" s="1" t="s">
        <v>14</v>
      </c>
      <c r="C19" t="s">
        <v>10</v>
      </c>
      <c r="D19" s="16">
        <v>29875</v>
      </c>
      <c r="K19" s="22" t="str">
        <v>Storage Container Set</v>
      </c>
      <c r="L19" s="22">
        <f>COUNTIF(C5:C34,"Storage Container Set")</f>
        <v>8</v>
      </c>
      <c r="M19" s="23">
        <f>SUMIF(C5:C34,"Storage Container Set",D5:D34)</f>
        <v>462687</v>
      </c>
    </row>
    <row r="20" spans="1:13">
      <c r="A20" t="s">
        <v>52</v>
      </c>
      <c r="B20" s="1" t="s">
        <v>53</v>
      </c>
      <c r="C20" t="s">
        <v>21</v>
      </c>
      <c r="D20" s="16">
        <v>45953</v>
      </c>
      <c r="K20" s="22" t="str">
        <v>Collapsible Dish Rack</v>
      </c>
      <c r="L20" s="22">
        <f>COUNTIF(C6:C35,"Collapsible Dish Rack")</f>
        <v>4</v>
      </c>
      <c r="M20" s="23">
        <f>SUMIF(C6:C35,"Collapsible Dish Rack",D6:D35)</f>
        <v>159941.32999999999</v>
      </c>
    </row>
    <row r="21" spans="1:13">
      <c r="A21" t="s">
        <v>54</v>
      </c>
      <c r="B21" s="1" t="s">
        <v>5</v>
      </c>
      <c r="C21" t="s">
        <v>25</v>
      </c>
      <c r="D21" s="16">
        <v>36653</v>
      </c>
    </row>
    <row r="22" spans="1:13">
      <c r="A22" t="s">
        <v>55</v>
      </c>
      <c r="B22" s="1" t="s">
        <v>18</v>
      </c>
      <c r="C22" t="s">
        <v>10</v>
      </c>
      <c r="D22" s="16">
        <v>49978</v>
      </c>
    </row>
    <row r="23" spans="1:13">
      <c r="A23" t="s">
        <v>56</v>
      </c>
      <c r="B23" s="1" t="s">
        <v>18</v>
      </c>
      <c r="C23" t="s">
        <v>6</v>
      </c>
      <c r="D23" s="16">
        <v>28956</v>
      </c>
    </row>
    <row r="24" spans="1:13">
      <c r="A24" t="s">
        <v>57</v>
      </c>
      <c r="B24" s="1" t="s">
        <v>5</v>
      </c>
      <c r="C24" t="s">
        <v>25</v>
      </c>
      <c r="D24" s="16">
        <v>43070</v>
      </c>
    </row>
    <row r="25" spans="1:13">
      <c r="A25" t="s">
        <v>58</v>
      </c>
      <c r="B25" s="1" t="s">
        <v>59</v>
      </c>
      <c r="C25" t="s">
        <v>6</v>
      </c>
      <c r="D25" s="16">
        <v>70733</v>
      </c>
    </row>
    <row r="26" spans="1:13">
      <c r="A26" t="s">
        <v>60</v>
      </c>
      <c r="B26" s="1" t="s">
        <v>50</v>
      </c>
      <c r="C26" t="s">
        <v>21</v>
      </c>
      <c r="D26" s="16">
        <v>63779</v>
      </c>
    </row>
    <row r="27" spans="1:13">
      <c r="A27" t="s">
        <v>61</v>
      </c>
      <c r="B27" s="1" t="s">
        <v>5</v>
      </c>
      <c r="C27" t="s">
        <v>6</v>
      </c>
      <c r="D27" s="16">
        <v>23085</v>
      </c>
    </row>
    <row r="28" spans="1:13">
      <c r="A28" t="s">
        <v>62</v>
      </c>
      <c r="B28" s="1" t="s">
        <v>63</v>
      </c>
      <c r="C28" t="s">
        <v>10</v>
      </c>
      <c r="D28" s="16">
        <v>24888</v>
      </c>
    </row>
    <row r="29" spans="1:13">
      <c r="A29" t="s">
        <v>64</v>
      </c>
      <c r="B29" s="1" t="s">
        <v>35</v>
      </c>
      <c r="C29" t="s">
        <v>15</v>
      </c>
      <c r="D29" s="16">
        <v>57456</v>
      </c>
    </row>
    <row r="30" spans="1:13">
      <c r="A30" t="s">
        <v>65</v>
      </c>
      <c r="B30" s="1" t="s">
        <v>66</v>
      </c>
      <c r="C30" t="s">
        <v>15</v>
      </c>
      <c r="D30" s="16">
        <v>71374</v>
      </c>
    </row>
    <row r="31" spans="1:13">
      <c r="A31" t="s">
        <v>67</v>
      </c>
      <c r="B31" s="1" t="s">
        <v>29</v>
      </c>
      <c r="C31" t="s">
        <v>21</v>
      </c>
      <c r="D31" s="16">
        <v>42568</v>
      </c>
    </row>
  </sheetData>
  <conditionalFormatting sqref="D2:D31">
    <cfRule type="top10" dxfId="0" priority="1" rank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F31"/>
  <sheetViews>
    <sheetView workbookViewId="0">
      <selection activeCell="D3" sqref="D3"/>
    </sheetView>
  </sheetViews>
  <sheetFormatPr defaultColWidth="9" defaultRowHeight="15"/>
  <cols>
    <col min="1" max="1" width="17.42578125" customWidth="1"/>
    <col min="2" max="2" width="18.85546875" style="1" customWidth="1"/>
    <col min="3" max="3" width="15.85546875" style="26" customWidth="1"/>
    <col min="4" max="4" width="19" customWidth="1"/>
  </cols>
  <sheetData>
    <row r="1" spans="1:6">
      <c r="A1" s="2" t="s">
        <v>1</v>
      </c>
      <c r="B1" s="2" t="s">
        <v>68</v>
      </c>
      <c r="C1" s="25" t="s">
        <v>3</v>
      </c>
      <c r="D1" s="8" t="s">
        <v>69</v>
      </c>
    </row>
    <row r="2" spans="1:6">
      <c r="A2" t="s">
        <v>5</v>
      </c>
      <c r="B2" s="1" t="s">
        <v>6</v>
      </c>
      <c r="C2" s="26">
        <v>58535</v>
      </c>
      <c r="D2" t="str">
        <f t="shared" ref="D2:D31" si="0">IF(C2&gt;=50000,"Profitable","Average")</f>
        <v>Profitable</v>
      </c>
      <c r="F2" t="s">
        <v>70</v>
      </c>
    </row>
    <row r="3" spans="1:6">
      <c r="A3" t="s">
        <v>9</v>
      </c>
      <c r="B3" s="1" t="s">
        <v>10</v>
      </c>
      <c r="C3" s="26">
        <v>47970</v>
      </c>
      <c r="D3" t="str">
        <f t="shared" si="0"/>
        <v>Average</v>
      </c>
      <c r="F3" t="s">
        <v>71</v>
      </c>
    </row>
    <row r="4" spans="1:6">
      <c r="A4" t="s">
        <v>14</v>
      </c>
      <c r="B4" s="1" t="s">
        <v>15</v>
      </c>
      <c r="C4" s="26">
        <v>52520</v>
      </c>
      <c r="D4" t="str">
        <f t="shared" si="0"/>
        <v>Profitable</v>
      </c>
    </row>
    <row r="5" spans="1:6">
      <c r="A5" t="s">
        <v>18</v>
      </c>
      <c r="B5" s="1" t="s">
        <v>15</v>
      </c>
      <c r="C5" s="26">
        <v>44444</v>
      </c>
      <c r="D5" t="str">
        <f t="shared" si="0"/>
        <v>Average</v>
      </c>
    </row>
    <row r="6" spans="1:6">
      <c r="A6" t="s">
        <v>18</v>
      </c>
      <c r="B6" s="1" t="s">
        <v>21</v>
      </c>
      <c r="C6" s="26">
        <v>72582</v>
      </c>
      <c r="D6" t="str">
        <f t="shared" si="0"/>
        <v>Profitable</v>
      </c>
    </row>
    <row r="7" spans="1:6">
      <c r="A7" t="s">
        <v>24</v>
      </c>
      <c r="B7" s="1" t="s">
        <v>25</v>
      </c>
      <c r="C7" s="26">
        <f>AVERAGEIF(Table1[Proper Product Name],"Collapsible Dish Rack",Table1[Order Amount])</f>
        <v>39985.332500000004</v>
      </c>
      <c r="D7" t="str">
        <f t="shared" si="0"/>
        <v>Average</v>
      </c>
    </row>
    <row r="8" spans="1:6">
      <c r="A8" t="s">
        <v>29</v>
      </c>
      <c r="B8" s="1" t="s">
        <v>15</v>
      </c>
      <c r="C8" s="26">
        <v>63735</v>
      </c>
      <c r="D8" t="str">
        <f t="shared" si="0"/>
        <v>Profitable</v>
      </c>
    </row>
    <row r="9" spans="1:6">
      <c r="A9" t="s">
        <v>5</v>
      </c>
      <c r="B9" s="1" t="s">
        <v>6</v>
      </c>
      <c r="C9" s="26">
        <v>70863</v>
      </c>
      <c r="D9" t="str">
        <f t="shared" si="0"/>
        <v>Profitable</v>
      </c>
    </row>
    <row r="10" spans="1:6">
      <c r="A10" t="s">
        <v>18</v>
      </c>
      <c r="B10" s="1" t="s">
        <v>6</v>
      </c>
      <c r="C10" s="26">
        <v>60015</v>
      </c>
      <c r="D10" t="str">
        <f t="shared" si="0"/>
        <v>Profitable</v>
      </c>
    </row>
    <row r="11" spans="1:6">
      <c r="A11" t="s">
        <v>35</v>
      </c>
      <c r="B11" s="1" t="s">
        <v>21</v>
      </c>
      <c r="C11" s="26">
        <v>87895</v>
      </c>
      <c r="D11" t="str">
        <f t="shared" si="0"/>
        <v>Profitable</v>
      </c>
    </row>
    <row r="12" spans="1:6">
      <c r="A12" t="s">
        <v>24</v>
      </c>
      <c r="B12" s="1" t="s">
        <v>10</v>
      </c>
      <c r="C12" s="26">
        <v>25155</v>
      </c>
      <c r="D12" t="str">
        <f t="shared" si="0"/>
        <v>Average</v>
      </c>
    </row>
    <row r="13" spans="1:6">
      <c r="A13" t="s">
        <v>35</v>
      </c>
      <c r="B13" s="1" t="s">
        <v>10</v>
      </c>
      <c r="C13" s="26">
        <v>23444</v>
      </c>
      <c r="D13" t="str">
        <f t="shared" si="0"/>
        <v>Average</v>
      </c>
    </row>
    <row r="14" spans="1:6">
      <c r="A14" t="s">
        <v>40</v>
      </c>
      <c r="B14" s="1" t="s">
        <v>21</v>
      </c>
      <c r="C14" s="26">
        <v>31495</v>
      </c>
      <c r="D14" t="str">
        <f t="shared" si="0"/>
        <v>Average</v>
      </c>
    </row>
    <row r="15" spans="1:6">
      <c r="A15" t="s">
        <v>42</v>
      </c>
      <c r="B15" s="1" t="s">
        <v>21</v>
      </c>
      <c r="C15" s="26">
        <v>76825</v>
      </c>
      <c r="D15" t="str">
        <f t="shared" si="0"/>
        <v>Profitable</v>
      </c>
    </row>
    <row r="16" spans="1:6">
      <c r="A16" t="s">
        <v>47</v>
      </c>
      <c r="B16" s="1" t="s">
        <v>25</v>
      </c>
      <c r="C16" s="26">
        <v>40233</v>
      </c>
      <c r="D16" t="str">
        <f t="shared" si="0"/>
        <v>Average</v>
      </c>
    </row>
    <row r="17" spans="1:4">
      <c r="A17" t="s">
        <v>40</v>
      </c>
      <c r="B17" s="1" t="s">
        <v>10</v>
      </c>
      <c r="C17" s="26">
        <v>58713</v>
      </c>
      <c r="D17" t="str">
        <f t="shared" si="0"/>
        <v>Profitable</v>
      </c>
    </row>
    <row r="18" spans="1:4">
      <c r="A18" t="s">
        <v>50</v>
      </c>
      <c r="B18" s="1" t="s">
        <v>21</v>
      </c>
      <c r="C18" s="26">
        <v>41590</v>
      </c>
      <c r="D18" t="str">
        <f t="shared" si="0"/>
        <v>Average</v>
      </c>
    </row>
    <row r="19" spans="1:4">
      <c r="A19" t="s">
        <v>14</v>
      </c>
      <c r="B19" s="1" t="s">
        <v>10</v>
      </c>
      <c r="C19" s="26">
        <v>29875</v>
      </c>
      <c r="D19" t="str">
        <f t="shared" si="0"/>
        <v>Average</v>
      </c>
    </row>
    <row r="20" spans="1:4">
      <c r="A20" t="s">
        <v>53</v>
      </c>
      <c r="B20" s="1" t="s">
        <v>21</v>
      </c>
      <c r="C20" s="26">
        <v>45953</v>
      </c>
      <c r="D20" t="str">
        <f t="shared" si="0"/>
        <v>Average</v>
      </c>
    </row>
    <row r="21" spans="1:4">
      <c r="A21" t="s">
        <v>5</v>
      </c>
      <c r="B21" s="1" t="s">
        <v>25</v>
      </c>
      <c r="C21" s="26">
        <v>36653</v>
      </c>
      <c r="D21" t="str">
        <f t="shared" si="0"/>
        <v>Average</v>
      </c>
    </row>
    <row r="22" spans="1:4">
      <c r="A22" t="s">
        <v>18</v>
      </c>
      <c r="B22" s="1" t="s">
        <v>10</v>
      </c>
      <c r="C22" s="26">
        <v>49978</v>
      </c>
      <c r="D22" t="str">
        <f t="shared" si="0"/>
        <v>Average</v>
      </c>
    </row>
    <row r="23" spans="1:4">
      <c r="A23" t="s">
        <v>18</v>
      </c>
      <c r="B23" s="1" t="s">
        <v>6</v>
      </c>
      <c r="C23" s="26">
        <v>28956</v>
      </c>
      <c r="D23" t="str">
        <f t="shared" si="0"/>
        <v>Average</v>
      </c>
    </row>
    <row r="24" spans="1:4">
      <c r="A24" t="s">
        <v>5</v>
      </c>
      <c r="B24" s="1" t="s">
        <v>25</v>
      </c>
      <c r="C24" s="26">
        <v>43070</v>
      </c>
      <c r="D24" t="str">
        <f t="shared" si="0"/>
        <v>Average</v>
      </c>
    </row>
    <row r="25" spans="1:4">
      <c r="A25" t="s">
        <v>59</v>
      </c>
      <c r="B25" s="1" t="s">
        <v>6</v>
      </c>
      <c r="C25" s="26">
        <v>70733</v>
      </c>
      <c r="D25" t="str">
        <f t="shared" si="0"/>
        <v>Profitable</v>
      </c>
    </row>
    <row r="26" spans="1:4">
      <c r="A26" t="s">
        <v>50</v>
      </c>
      <c r="B26" s="1" t="s">
        <v>21</v>
      </c>
      <c r="C26" s="26">
        <v>63779</v>
      </c>
      <c r="D26" t="str">
        <f t="shared" si="0"/>
        <v>Profitable</v>
      </c>
    </row>
    <row r="27" spans="1:4">
      <c r="A27" t="s">
        <v>5</v>
      </c>
      <c r="B27" s="1" t="s">
        <v>6</v>
      </c>
      <c r="C27" s="26">
        <v>23085</v>
      </c>
      <c r="D27" t="str">
        <f t="shared" si="0"/>
        <v>Average</v>
      </c>
    </row>
    <row r="28" spans="1:4">
      <c r="A28" t="s">
        <v>63</v>
      </c>
      <c r="B28" s="1" t="s">
        <v>10</v>
      </c>
      <c r="C28" s="26">
        <v>24888</v>
      </c>
      <c r="D28" t="str">
        <f t="shared" si="0"/>
        <v>Average</v>
      </c>
    </row>
    <row r="29" spans="1:4">
      <c r="A29" t="s">
        <v>35</v>
      </c>
      <c r="B29" s="1" t="s">
        <v>15</v>
      </c>
      <c r="C29" s="26">
        <v>57456</v>
      </c>
      <c r="D29" t="str">
        <f t="shared" si="0"/>
        <v>Profitable</v>
      </c>
    </row>
    <row r="30" spans="1:4">
      <c r="A30" t="s">
        <v>66</v>
      </c>
      <c r="B30" s="1" t="s">
        <v>15</v>
      </c>
      <c r="C30" s="26">
        <v>71374</v>
      </c>
      <c r="D30" t="str">
        <f t="shared" si="0"/>
        <v>Profitable</v>
      </c>
    </row>
    <row r="31" spans="1:4">
      <c r="A31" t="s">
        <v>29</v>
      </c>
      <c r="B31" s="1" t="s">
        <v>21</v>
      </c>
      <c r="C31" s="26">
        <v>42568</v>
      </c>
      <c r="D31" t="str">
        <f t="shared" si="0"/>
        <v>Average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G31"/>
  <sheetViews>
    <sheetView workbookViewId="0">
      <selection activeCell="C2" sqref="C2:C4"/>
    </sheetView>
  </sheetViews>
  <sheetFormatPr defaultColWidth="9" defaultRowHeight="15"/>
  <cols>
    <col min="1" max="1" width="17.42578125" style="1" customWidth="1"/>
    <col min="2" max="2" width="18.85546875" style="1" customWidth="1"/>
    <col min="3" max="3" width="15.85546875" style="26" customWidth="1"/>
    <col min="4" max="4" width="19" customWidth="1"/>
    <col min="6" max="6" width="15.42578125" customWidth="1"/>
    <col min="7" max="7" width="9.5703125" customWidth="1"/>
  </cols>
  <sheetData>
    <row r="1" spans="1:7">
      <c r="A1" s="2" t="s">
        <v>1</v>
      </c>
      <c r="B1" s="2" t="s">
        <v>68</v>
      </c>
      <c r="C1" s="25" t="s">
        <v>3</v>
      </c>
      <c r="D1" s="8" t="s">
        <v>69</v>
      </c>
    </row>
    <row r="2" spans="1:7">
      <c r="A2" s="1" t="s">
        <v>35</v>
      </c>
      <c r="B2" s="1" t="s">
        <v>21</v>
      </c>
      <c r="C2" s="27">
        <v>87895</v>
      </c>
      <c r="D2" t="str">
        <f>IF(C2&lt;30000,"Fair",IF(C2&lt;=70000,"Good","Very Good"))</f>
        <v>Very Good</v>
      </c>
      <c r="F2" t="s">
        <v>72</v>
      </c>
    </row>
    <row r="3" spans="1:7">
      <c r="A3" s="1" t="s">
        <v>42</v>
      </c>
      <c r="B3" s="1" t="s">
        <v>21</v>
      </c>
      <c r="C3" s="27">
        <v>76825</v>
      </c>
      <c r="D3" t="str">
        <f>IF(C3&lt;30000,"Fair",IF(C3&lt;=70000,"Good","Very Good"))</f>
        <v>Very Good</v>
      </c>
      <c r="F3" t="s">
        <v>73</v>
      </c>
    </row>
    <row r="4" spans="1:7">
      <c r="A4" s="1" t="s">
        <v>18</v>
      </c>
      <c r="B4" s="1" t="s">
        <v>21</v>
      </c>
      <c r="C4" s="27">
        <v>72582</v>
      </c>
      <c r="D4" t="str">
        <f>IF(C4&lt;30000,"Fair",IF(C4&lt;=70000,"Good","Very Good"))</f>
        <v>Very Good</v>
      </c>
    </row>
    <row r="5" spans="1:7">
      <c r="A5" s="1" t="s">
        <v>66</v>
      </c>
      <c r="B5" s="1" t="s">
        <v>15</v>
      </c>
      <c r="C5" s="26">
        <v>71374</v>
      </c>
      <c r="D5" t="str">
        <f>IF(C5&lt;30000,"Fair",IF(C5&lt;=70000,"Good","Very Good"))</f>
        <v>Very Good</v>
      </c>
      <c r="F5" s="9" t="s">
        <v>74</v>
      </c>
      <c r="G5" s="10" t="s">
        <v>69</v>
      </c>
    </row>
    <row r="6" spans="1:7">
      <c r="A6" s="1" t="s">
        <v>5</v>
      </c>
      <c r="B6" s="1" t="s">
        <v>6</v>
      </c>
      <c r="C6" s="26">
        <v>70863</v>
      </c>
      <c r="D6" t="str">
        <f>IF(C6&lt;30000,"Fair",IF(C6&lt;=70000,"Good","Very Good"))</f>
        <v>Very Good</v>
      </c>
      <c r="F6" s="11" t="s">
        <v>75</v>
      </c>
      <c r="G6" s="12" t="s">
        <v>76</v>
      </c>
    </row>
    <row r="7" spans="1:7">
      <c r="A7" s="1" t="s">
        <v>59</v>
      </c>
      <c r="B7" s="1" t="s">
        <v>6</v>
      </c>
      <c r="C7" s="26">
        <v>70733</v>
      </c>
      <c r="D7" t="str">
        <f>IF(C7&lt;30000,"Fair",IF(C7&lt;=70000,"Good","Very Good"))</f>
        <v>Very Good</v>
      </c>
      <c r="F7" s="11" t="s">
        <v>77</v>
      </c>
      <c r="G7" s="12" t="s">
        <v>78</v>
      </c>
    </row>
    <row r="8" spans="1:7">
      <c r="A8" s="1" t="s">
        <v>50</v>
      </c>
      <c r="B8" s="1" t="s">
        <v>21</v>
      </c>
      <c r="C8" s="26">
        <v>63779</v>
      </c>
      <c r="D8" t="str">
        <f>IF(C8&lt;30000,"Fair",IF(C8&lt;=70000,"Good","Very Good"))</f>
        <v>Good</v>
      </c>
      <c r="F8" s="13" t="s">
        <v>79</v>
      </c>
      <c r="G8" s="14" t="s">
        <v>80</v>
      </c>
    </row>
    <row r="9" spans="1:7">
      <c r="A9" s="1" t="s">
        <v>29</v>
      </c>
      <c r="B9" s="1" t="s">
        <v>15</v>
      </c>
      <c r="C9" s="26">
        <v>63735</v>
      </c>
      <c r="D9" t="str">
        <f>IF(C9&lt;30000,"Fair",IF(C9&lt;=70000,"Good","Very Good"))</f>
        <v>Good</v>
      </c>
    </row>
    <row r="10" spans="1:7">
      <c r="A10" s="1" t="s">
        <v>18</v>
      </c>
      <c r="B10" s="1" t="s">
        <v>6</v>
      </c>
      <c r="C10" s="26">
        <v>60015</v>
      </c>
      <c r="D10" t="str">
        <f>IF(C10&lt;30000,"Fair",IF(C10&lt;=70000,"Good","Very Good"))</f>
        <v>Good</v>
      </c>
    </row>
    <row r="11" spans="1:7">
      <c r="A11" s="1" t="s">
        <v>40</v>
      </c>
      <c r="B11" s="1" t="s">
        <v>10</v>
      </c>
      <c r="C11" s="26">
        <v>58713</v>
      </c>
      <c r="D11" t="str">
        <f>IF(C11&lt;30000,"Fair",IF(C11&lt;=70000,"Good","Very Good"))</f>
        <v>Good</v>
      </c>
      <c r="G11" s="15"/>
    </row>
    <row r="12" spans="1:7">
      <c r="A12" s="1" t="s">
        <v>5</v>
      </c>
      <c r="B12" s="1" t="s">
        <v>6</v>
      </c>
      <c r="C12" s="26">
        <v>58535</v>
      </c>
      <c r="D12" t="str">
        <f>IF(C12&lt;30000,"Fair",IF(C12&lt;=70000,"Good","Very Good"))</f>
        <v>Good</v>
      </c>
    </row>
    <row r="13" spans="1:7">
      <c r="A13" s="1" t="s">
        <v>35</v>
      </c>
      <c r="B13" s="1" t="s">
        <v>15</v>
      </c>
      <c r="C13" s="26">
        <v>57456</v>
      </c>
      <c r="D13" t="str">
        <f>IF(C13&lt;30000,"Fair",IF(C13&lt;=70000,"Good","Very Good"))</f>
        <v>Good</v>
      </c>
    </row>
    <row r="14" spans="1:7">
      <c r="A14" s="1" t="s">
        <v>14</v>
      </c>
      <c r="B14" s="1" t="s">
        <v>15</v>
      </c>
      <c r="C14" s="26">
        <v>52520</v>
      </c>
      <c r="D14" t="str">
        <f>IF(C14&lt;30000,"Fair",IF(C14&lt;=70000,"Good","Very Good"))</f>
        <v>Good</v>
      </c>
    </row>
    <row r="15" spans="1:7">
      <c r="A15" s="1" t="s">
        <v>18</v>
      </c>
      <c r="B15" s="1" t="s">
        <v>10</v>
      </c>
      <c r="C15" s="26">
        <v>49978</v>
      </c>
      <c r="D15" t="str">
        <f>IF(C15&lt;30000,"Fair",IF(C15&lt;=70000,"Good","Very Good"))</f>
        <v>Good</v>
      </c>
    </row>
    <row r="16" spans="1:7">
      <c r="A16" s="1" t="s">
        <v>9</v>
      </c>
      <c r="B16" s="1" t="s">
        <v>10</v>
      </c>
      <c r="C16" s="26">
        <v>47970</v>
      </c>
      <c r="D16" t="str">
        <f>IF(C16&lt;30000,"Fair",IF(C16&lt;=70000,"Good","Very Good"))</f>
        <v>Good</v>
      </c>
    </row>
    <row r="17" spans="1:4">
      <c r="A17" s="1" t="s">
        <v>53</v>
      </c>
      <c r="B17" s="1" t="s">
        <v>21</v>
      </c>
      <c r="C17" s="26">
        <v>45953</v>
      </c>
      <c r="D17" t="str">
        <f>IF(C17&lt;30000,"Fair",IF(C17&lt;=70000,"Good","Very Good"))</f>
        <v>Good</v>
      </c>
    </row>
    <row r="18" spans="1:4">
      <c r="A18" s="1" t="s">
        <v>18</v>
      </c>
      <c r="B18" s="1" t="s">
        <v>15</v>
      </c>
      <c r="C18" s="26">
        <v>44444</v>
      </c>
      <c r="D18" t="str">
        <f>IF(C18&lt;30000,"Fair",IF(C18&lt;=70000,"Good","Very Good"))</f>
        <v>Good</v>
      </c>
    </row>
    <row r="19" spans="1:4">
      <c r="A19" s="1" t="s">
        <v>5</v>
      </c>
      <c r="B19" s="1" t="s">
        <v>25</v>
      </c>
      <c r="C19" s="26">
        <v>43070</v>
      </c>
      <c r="D19" t="str">
        <f>IF(C19&lt;30000,"Fair",IF(C19&lt;=70000,"Good","Very Good"))</f>
        <v>Good</v>
      </c>
    </row>
    <row r="20" spans="1:4">
      <c r="A20" s="1" t="s">
        <v>29</v>
      </c>
      <c r="B20" s="1" t="s">
        <v>21</v>
      </c>
      <c r="C20" s="26">
        <v>42568</v>
      </c>
      <c r="D20" t="str">
        <f>IF(C20&lt;30000,"Fair",IF(C20&lt;=70000,"Good","Very Good"))</f>
        <v>Good</v>
      </c>
    </row>
    <row r="21" spans="1:4">
      <c r="A21" s="1" t="s">
        <v>50</v>
      </c>
      <c r="B21" s="1" t="s">
        <v>21</v>
      </c>
      <c r="C21" s="26">
        <v>41590</v>
      </c>
      <c r="D21" t="str">
        <f>IF(C21&lt;30000,"Fair",IF(C21&lt;=70000,"Good","Very Good"))</f>
        <v>Good</v>
      </c>
    </row>
    <row r="22" spans="1:4">
      <c r="A22" s="1" t="s">
        <v>47</v>
      </c>
      <c r="B22" s="1" t="s">
        <v>25</v>
      </c>
      <c r="C22" s="26">
        <v>40233</v>
      </c>
      <c r="D22" t="str">
        <f>IF(C22&lt;30000,"Fair",IF(C22&lt;=70000,"Good","Very Good"))</f>
        <v>Good</v>
      </c>
    </row>
    <row r="23" spans="1:4">
      <c r="A23" s="1" t="s">
        <v>24</v>
      </c>
      <c r="B23" s="1" t="s">
        <v>25</v>
      </c>
      <c r="C23" s="26">
        <f>AVERAGEIF(Table1[Proper Product Name],"Collapsible Dish Rack",Table1[Order Amount])</f>
        <v>39985.332500000004</v>
      </c>
      <c r="D23" t="str">
        <f>IF(C23&lt;30000,"Fair",IF(C23&lt;=70000,"Good","Very Good"))</f>
        <v>Good</v>
      </c>
    </row>
    <row r="24" spans="1:4">
      <c r="A24" s="1" t="s">
        <v>5</v>
      </c>
      <c r="B24" s="1" t="s">
        <v>25</v>
      </c>
      <c r="C24" s="26">
        <v>36653</v>
      </c>
      <c r="D24" t="str">
        <f>IF(C24&lt;30000,"Fair",IF(C24&lt;=70000,"Good","Very Good"))</f>
        <v>Good</v>
      </c>
    </row>
    <row r="25" spans="1:4">
      <c r="A25" s="1" t="s">
        <v>40</v>
      </c>
      <c r="B25" s="1" t="s">
        <v>21</v>
      </c>
      <c r="C25" s="26">
        <v>31495</v>
      </c>
      <c r="D25" t="str">
        <f>IF(C25&lt;30000,"Fair",IF(C25&lt;=70000,"Good","Very Good"))</f>
        <v>Good</v>
      </c>
    </row>
    <row r="26" spans="1:4">
      <c r="A26" s="1" t="s">
        <v>14</v>
      </c>
      <c r="B26" s="1" t="s">
        <v>10</v>
      </c>
      <c r="C26" s="26">
        <v>29875</v>
      </c>
      <c r="D26" t="str">
        <f>IF(C26&lt;30000,"Fair",IF(C26&lt;=70000,"Good","Very Good"))</f>
        <v>Fair</v>
      </c>
    </row>
    <row r="27" spans="1:4">
      <c r="A27" s="1" t="s">
        <v>18</v>
      </c>
      <c r="B27" s="1" t="s">
        <v>6</v>
      </c>
      <c r="C27" s="26">
        <v>28956</v>
      </c>
      <c r="D27" t="str">
        <f>IF(C27&lt;30000,"Fair",IF(C27&lt;=70000,"Good","Very Good"))</f>
        <v>Fair</v>
      </c>
    </row>
    <row r="28" spans="1:4">
      <c r="A28" s="1" t="s">
        <v>24</v>
      </c>
      <c r="B28" s="1" t="s">
        <v>10</v>
      </c>
      <c r="C28" s="26">
        <v>25155</v>
      </c>
      <c r="D28" t="str">
        <f>IF(C28&lt;30000,"Fair",IF(C28&lt;=70000,"Good","Very Good"))</f>
        <v>Fair</v>
      </c>
    </row>
    <row r="29" spans="1:4">
      <c r="A29" s="1" t="s">
        <v>63</v>
      </c>
      <c r="B29" s="1" t="s">
        <v>10</v>
      </c>
      <c r="C29" s="26">
        <v>24888</v>
      </c>
      <c r="D29" t="str">
        <f>IF(C29&lt;30000,"Fair",IF(C29&lt;=70000,"Good","Very Good"))</f>
        <v>Fair</v>
      </c>
    </row>
    <row r="30" spans="1:4">
      <c r="A30" s="1" t="s">
        <v>35</v>
      </c>
      <c r="B30" s="1" t="s">
        <v>10</v>
      </c>
      <c r="C30" s="26">
        <v>23444</v>
      </c>
      <c r="D30" t="str">
        <f>IF(C30&lt;30000,"Fair",IF(C30&lt;=70000,"Good","Very Good"))</f>
        <v>Fair</v>
      </c>
    </row>
    <row r="31" spans="1:4">
      <c r="A31" s="1" t="s">
        <v>5</v>
      </c>
      <c r="B31" s="1" t="s">
        <v>6</v>
      </c>
      <c r="C31" s="26">
        <v>23085</v>
      </c>
      <c r="D31" t="str">
        <f>IF(C31&lt;30000,"Fair",IF(C31&lt;=70000,"Good","Very Good"))</f>
        <v>Fair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G31"/>
  <sheetViews>
    <sheetView workbookViewId="0">
      <selection activeCell="G14" sqref="G14"/>
    </sheetView>
  </sheetViews>
  <sheetFormatPr defaultColWidth="9" defaultRowHeight="15"/>
  <cols>
    <col min="1" max="1" width="17.42578125" style="1" customWidth="1"/>
    <col min="2" max="2" width="18.85546875" style="1" customWidth="1"/>
    <col min="3" max="3" width="15.85546875" style="26" customWidth="1"/>
    <col min="6" max="6" width="17.140625" customWidth="1"/>
    <col min="7" max="7" width="20.42578125" bestFit="1" customWidth="1"/>
  </cols>
  <sheetData>
    <row r="1" spans="1:7">
      <c r="A1" s="24" t="s">
        <v>1</v>
      </c>
      <c r="B1" s="24" t="s">
        <v>68</v>
      </c>
      <c r="C1" s="28" t="s">
        <v>3</v>
      </c>
    </row>
    <row r="2" spans="1:7">
      <c r="A2" s="1" t="s">
        <v>5</v>
      </c>
      <c r="B2" s="1" t="s">
        <v>6</v>
      </c>
      <c r="C2" s="26">
        <v>58535</v>
      </c>
    </row>
    <row r="3" spans="1:7">
      <c r="A3" s="1" t="s">
        <v>9</v>
      </c>
      <c r="B3" s="1" t="s">
        <v>10</v>
      </c>
      <c r="C3" s="26">
        <v>47970</v>
      </c>
      <c r="F3" t="s">
        <v>81</v>
      </c>
    </row>
    <row r="4" spans="1:7">
      <c r="A4" s="1" t="s">
        <v>14</v>
      </c>
      <c r="B4" s="1" t="s">
        <v>15</v>
      </c>
      <c r="C4" s="26">
        <v>52520</v>
      </c>
    </row>
    <row r="5" spans="1:7">
      <c r="A5" s="1" t="s">
        <v>18</v>
      </c>
      <c r="B5" s="1" t="s">
        <v>15</v>
      </c>
      <c r="C5" s="26">
        <v>44444</v>
      </c>
      <c r="F5" s="3" t="s">
        <v>82</v>
      </c>
    </row>
    <row r="6" spans="1:7">
      <c r="A6" s="1" t="s">
        <v>18</v>
      </c>
      <c r="B6" s="1" t="s">
        <v>21</v>
      </c>
      <c r="C6" s="26">
        <v>72582</v>
      </c>
    </row>
    <row r="7" spans="1:7">
      <c r="A7" s="1" t="s">
        <v>24</v>
      </c>
      <c r="B7" s="1" t="s">
        <v>25</v>
      </c>
      <c r="C7" s="26">
        <v>39985.33</v>
      </c>
    </row>
    <row r="8" spans="1:7">
      <c r="A8" s="1" t="s">
        <v>29</v>
      </c>
      <c r="B8" s="1" t="s">
        <v>15</v>
      </c>
      <c r="C8" s="26">
        <v>63735</v>
      </c>
    </row>
    <row r="9" spans="1:7">
      <c r="A9" s="1" t="s">
        <v>5</v>
      </c>
      <c r="B9" s="1" t="s">
        <v>6</v>
      </c>
      <c r="C9" s="26">
        <v>70863</v>
      </c>
    </row>
    <row r="10" spans="1:7">
      <c r="A10" s="1" t="s">
        <v>18</v>
      </c>
      <c r="B10" s="1" t="s">
        <v>6</v>
      </c>
      <c r="C10" s="26">
        <v>60015</v>
      </c>
      <c r="F10" s="4" t="s">
        <v>1</v>
      </c>
      <c r="G10" s="4" t="s">
        <v>68</v>
      </c>
    </row>
    <row r="11" spans="1:7">
      <c r="A11" s="1" t="s">
        <v>35</v>
      </c>
      <c r="B11" s="1" t="s">
        <v>21</v>
      </c>
      <c r="C11" s="26">
        <v>87895</v>
      </c>
      <c r="F11" s="5" t="s">
        <v>42</v>
      </c>
      <c r="G11" s="6" t="str">
        <f>VLOOKUP("Omolara Akinyemi",Table5[],2,FALSE)</f>
        <v>Storage Container Set</v>
      </c>
    </row>
    <row r="12" spans="1:7">
      <c r="A12" s="1" t="s">
        <v>24</v>
      </c>
      <c r="B12" s="1" t="s">
        <v>10</v>
      </c>
      <c r="C12" s="26">
        <v>25155</v>
      </c>
      <c r="F12" s="5" t="s">
        <v>9</v>
      </c>
      <c r="G12" s="6" t="str">
        <f>VLOOKUP("Peter Obasi",A2:C31,2,FALSE)</f>
        <v>Non-Stick Fry Pan</v>
      </c>
    </row>
    <row r="13" spans="1:7">
      <c r="A13" s="1" t="s">
        <v>35</v>
      </c>
      <c r="B13" s="1" t="s">
        <v>10</v>
      </c>
      <c r="C13" s="26">
        <v>23444</v>
      </c>
      <c r="F13" s="5" t="s">
        <v>66</v>
      </c>
      <c r="G13" s="6" t="str">
        <f>VLOOKUP("Chuks Danjuma",A2:C32,2,FALSE)</f>
        <v>Glass Measuring Jug</v>
      </c>
    </row>
    <row r="14" spans="1:7">
      <c r="A14" s="1" t="s">
        <v>40</v>
      </c>
      <c r="B14" s="1" t="s">
        <v>21</v>
      </c>
      <c r="C14" s="26">
        <v>31495</v>
      </c>
    </row>
    <row r="15" spans="1:7">
      <c r="A15" s="1" t="s">
        <v>42</v>
      </c>
      <c r="B15" s="1" t="s">
        <v>21</v>
      </c>
      <c r="C15" s="26">
        <v>76825</v>
      </c>
    </row>
    <row r="16" spans="1:7">
      <c r="A16" s="1" t="s">
        <v>47</v>
      </c>
      <c r="B16" s="1" t="s">
        <v>25</v>
      </c>
      <c r="C16" s="26">
        <v>40233</v>
      </c>
    </row>
    <row r="17" spans="1:3">
      <c r="A17" s="1" t="s">
        <v>40</v>
      </c>
      <c r="B17" s="1" t="s">
        <v>10</v>
      </c>
      <c r="C17" s="26">
        <v>58713</v>
      </c>
    </row>
    <row r="18" spans="1:3">
      <c r="A18" s="1" t="s">
        <v>50</v>
      </c>
      <c r="B18" s="1" t="s">
        <v>21</v>
      </c>
      <c r="C18" s="26">
        <v>41590</v>
      </c>
    </row>
    <row r="19" spans="1:3">
      <c r="A19" s="1" t="s">
        <v>14</v>
      </c>
      <c r="B19" s="1" t="s">
        <v>10</v>
      </c>
      <c r="C19" s="26">
        <v>29875</v>
      </c>
    </row>
    <row r="20" spans="1:3">
      <c r="A20" s="1" t="s">
        <v>53</v>
      </c>
      <c r="B20" s="1" t="s">
        <v>21</v>
      </c>
      <c r="C20" s="26">
        <v>45953</v>
      </c>
    </row>
    <row r="21" spans="1:3">
      <c r="A21" s="1" t="s">
        <v>5</v>
      </c>
      <c r="B21" s="1" t="s">
        <v>25</v>
      </c>
      <c r="C21" s="26">
        <v>36653</v>
      </c>
    </row>
    <row r="22" spans="1:3">
      <c r="A22" s="1" t="s">
        <v>18</v>
      </c>
      <c r="B22" s="1" t="s">
        <v>10</v>
      </c>
      <c r="C22" s="26">
        <v>49978</v>
      </c>
    </row>
    <row r="23" spans="1:3">
      <c r="A23" s="1" t="s">
        <v>18</v>
      </c>
      <c r="B23" s="1" t="s">
        <v>6</v>
      </c>
      <c r="C23" s="26">
        <v>28956</v>
      </c>
    </row>
    <row r="24" spans="1:3">
      <c r="A24" s="1" t="s">
        <v>5</v>
      </c>
      <c r="B24" s="1" t="s">
        <v>25</v>
      </c>
      <c r="C24" s="26">
        <v>43070</v>
      </c>
    </row>
    <row r="25" spans="1:3">
      <c r="A25" s="1" t="s">
        <v>59</v>
      </c>
      <c r="B25" s="1" t="s">
        <v>6</v>
      </c>
      <c r="C25" s="26">
        <v>70733</v>
      </c>
    </row>
    <row r="26" spans="1:3">
      <c r="A26" s="1" t="s">
        <v>50</v>
      </c>
      <c r="B26" s="1" t="s">
        <v>21</v>
      </c>
      <c r="C26" s="26">
        <v>63779</v>
      </c>
    </row>
    <row r="27" spans="1:3">
      <c r="A27" s="1" t="s">
        <v>5</v>
      </c>
      <c r="B27" s="1" t="s">
        <v>6</v>
      </c>
      <c r="C27" s="26">
        <v>23085</v>
      </c>
    </row>
    <row r="28" spans="1:3">
      <c r="A28" s="1" t="s">
        <v>63</v>
      </c>
      <c r="B28" s="1" t="s">
        <v>10</v>
      </c>
      <c r="C28" s="26">
        <v>24888</v>
      </c>
    </row>
    <row r="29" spans="1:3">
      <c r="A29" s="1" t="s">
        <v>35</v>
      </c>
      <c r="B29" s="1" t="s">
        <v>15</v>
      </c>
      <c r="C29" s="26">
        <v>57456</v>
      </c>
    </row>
    <row r="30" spans="1:3">
      <c r="A30" s="1" t="s">
        <v>66</v>
      </c>
      <c r="B30" s="1" t="s">
        <v>15</v>
      </c>
      <c r="C30" s="26">
        <v>71374</v>
      </c>
    </row>
    <row r="31" spans="1:3">
      <c r="A31" s="1" t="s">
        <v>29</v>
      </c>
      <c r="B31" s="1" t="s">
        <v>21</v>
      </c>
      <c r="C31" s="26">
        <v>42568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FUNCTIONS</vt:lpstr>
      <vt:lpstr>IFS</vt:lpstr>
      <vt:lpstr>NESTED IF (IFS)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Funmilayo Eluyera</dc:creator>
  <cp:lastModifiedBy>Sethlyn Tetteh</cp:lastModifiedBy>
  <dcterms:created xsi:type="dcterms:W3CDTF">2025-04-09T15:37:00Z</dcterms:created>
  <dcterms:modified xsi:type="dcterms:W3CDTF">2025-08-24T05:19:09Z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2057-12.2.0.21936</vt:lpwstr>
  </property>
  <property fmtid="{D5CDD505-2E9C-101B-9397-08002B2CF9AE}" pid="3" name="ICV">
    <vt:lpwstr>5AAAD44B9EE645AEBC4C24FCE0CD1C2C_12</vt:lpwstr>
  </property>
</Properties>
</file>